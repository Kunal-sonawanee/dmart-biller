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Backup" sheetId="1" state="visible" r:id="rId1"/>
    <sheet name="Analytics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₹#,##0.00"/>
    <numFmt numFmtId="166" formatCode="₹#,##0"/>
    <numFmt numFmtId="167" formatCode="0.000 &quot;Tons&quot;"/>
    <numFmt numFmtId="168" formatCode="#,##0 &quot;Boxes&quot;"/>
    <numFmt numFmtId="169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EF3C7"/>
      <sz val="9.5"/>
    </font>
    <font>
      <name val="Segoe UI"/>
      <b val="1"/>
      <color rgb="00FFFFFF"/>
      <sz val="10"/>
    </font>
    <font>
      <name val="Segoe UI"/>
      <b val="1"/>
      <sz val="10"/>
    </font>
    <font>
      <name val="Segoe UI"/>
      <color rgb="0064748B"/>
      <sz val="9"/>
    </font>
    <font>
      <name val="Segoe UI"/>
      <sz val="10"/>
    </font>
    <font>
      <name val="Segoe UI"/>
      <b val="1"/>
      <color rgb="009A3412"/>
      <sz val="11"/>
    </font>
    <font>
      <name val="Segoe UI"/>
      <i val="1"/>
      <color rgb="00CBD5E1"/>
      <sz val="9.5"/>
    </font>
    <font>
      <name val="Segoe UI"/>
      <b val="1"/>
      <color rgb="0094A3B8"/>
      <sz val="9"/>
    </font>
    <font>
      <name val="Segoe UI"/>
      <b val="1"/>
      <color rgb="00FDE68A"/>
      <sz val="20"/>
    </font>
    <font>
      <name val="Segoe UI"/>
      <b val="1"/>
      <color rgb="00FFFFFF"/>
      <sz val="18"/>
    </font>
    <font>
      <name val="Segoe UI"/>
      <b val="1"/>
      <color rgb="0093C5FD"/>
      <sz val="15"/>
    </font>
    <font>
      <name val="Segoe UI"/>
      <b val="1"/>
      <color rgb="00FFFFFF"/>
      <sz val="14"/>
    </font>
    <font>
      <name val="Segoe UI"/>
      <i val="1"/>
      <color rgb="00BFDBFE"/>
      <sz val="8.5"/>
    </font>
    <font>
      <name val="Segoe UI"/>
      <b val="1"/>
      <color rgb="00A7F3D0"/>
      <sz val="15"/>
    </font>
    <font>
      <name val="Segoe UI"/>
      <i val="1"/>
      <color rgb="00D1FAE5"/>
      <sz val="8.5"/>
    </font>
    <font>
      <name val="Segoe UI"/>
      <b val="1"/>
      <color rgb="000F172A"/>
      <sz val="11"/>
    </font>
    <font>
      <name val="Segoe UI"/>
      <b val="1"/>
      <color rgb="009A3412"/>
      <sz val="10.5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78350F"/>
        <bgColor rgb="0078350F"/>
      </patternFill>
    </fill>
    <fill>
      <patternFill patternType="solid">
        <fgColor rgb="00065F46"/>
        <bgColor rgb="00065F4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1" pivotButton="0" quotePrefix="0" xfId="0"/>
    <xf numFmtId="0" fontId="4" fillId="6" borderId="2" applyAlignment="1" pivotButton="0" quotePrefix="0" xfId="0">
      <alignment horizontal="center" vertical="center"/>
    </xf>
    <xf numFmtId="0" fontId="0" fillId="6" borderId="2" pivotButton="0" quotePrefix="0" xfId="0"/>
    <xf numFmtId="164" fontId="4" fillId="6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right" vertical="center"/>
    </xf>
    <xf numFmtId="3" fontId="4" fillId="6" borderId="2" applyAlignment="1" pivotButton="0" quotePrefix="0" xfId="0">
      <alignment horizontal="right" vertical="center"/>
    </xf>
    <xf numFmtId="165" fontId="7" fillId="6" borderId="2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3" fontId="11" fillId="3" borderId="1" applyAlignment="1" pivotButton="0" quotePrefix="0" xfId="0">
      <alignment horizontal="center" vertical="center"/>
    </xf>
    <xf numFmtId="167" fontId="12" fillId="4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8" fontId="15" fillId="8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9" fontId="0" fillId="5" borderId="1" applyAlignment="1" pivotButton="0" quotePrefix="0" xfId="0">
      <alignment horizontal="right" vertical="center"/>
    </xf>
    <xf numFmtId="0" fontId="4" fillId="6" borderId="2" pivotButton="0" quotePrefix="0" xfId="0"/>
    <xf numFmtId="3" fontId="4" fillId="6" borderId="2" applyAlignment="1" pivotButton="0" quotePrefix="0" xfId="0">
      <alignment horizontal="center" vertical="center"/>
    </xf>
    <xf numFmtId="165" fontId="18" fillId="6" borderId="2" applyAlignment="1" pivotButton="0" quotePrefix="0" xfId="0">
      <alignment horizontal="right" vertical="center"/>
    </xf>
    <xf numFmtId="169" fontId="4" fillId="6" borderId="2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38" customWidth="1" min="4" max="4"/>
    <col width="25" customWidth="1" min="5" max="5"/>
    <col width="17" customWidth="1" min="6" max="6"/>
    <col width="14" customWidth="1" min="7" max="7"/>
    <col width="17" customWidth="1" min="8" max="8"/>
    <col width="15" customWidth="1" min="9" max="9"/>
    <col width="14" customWidth="1" min="10" max="10"/>
    <col width="16" customWidth="1" min="11" max="11"/>
    <col width="18" customWidth="1" min="12" max="12"/>
    <col width="21" customWidth="1" min="13" max="13"/>
  </cols>
  <sheetData>
    <row r="1" ht="36" customHeight="1">
      <c r="A1" s="1" t="inlineStr">
        <is>
          <t>PRADIP PATIL • D-MART BILLING RECORDS &amp; DATA BACKUP</t>
        </is>
      </c>
    </row>
    <row r="2" ht="20" customHeight="1">
      <c r="A2" s="2" t="inlineStr">
        <is>
          <t>Contractor Code: 417744 | Loading &amp; Unloading Services | Rates: Ankhi DC = ₹95/Ton, Por DC = ₹1.75/Box</t>
        </is>
      </c>
    </row>
    <row r="4" ht="26" customHeight="1">
      <c r="A4" s="3" t="inlineStr">
        <is>
          <t>Inv #</t>
        </is>
      </c>
      <c r="B4" s="3" t="inlineStr">
        <is>
          <t>Invoice Date</t>
        </is>
      </c>
      <c r="C4" s="3" t="inlineStr">
        <is>
          <t>Month-Year</t>
        </is>
      </c>
      <c r="D4" s="4" t="inlineStr">
        <is>
          <t>D-Mart Store / Branch</t>
        </is>
      </c>
      <c r="E4" s="3" t="inlineStr">
        <is>
          <t>Billing Period</t>
        </is>
      </c>
      <c r="F4" s="5" t="inlineStr">
        <is>
          <t>Ankhi DC (Tons)</t>
        </is>
      </c>
      <c r="G4" s="3" t="inlineStr">
        <is>
          <t>Rate (₹/Ton)</t>
        </is>
      </c>
      <c r="H4" s="5" t="inlineStr">
        <is>
          <t>Ankhi Total (₹)</t>
        </is>
      </c>
      <c r="I4" s="5" t="inlineStr">
        <is>
          <t>Por DC (Boxes)</t>
        </is>
      </c>
      <c r="J4" s="3" t="inlineStr">
        <is>
          <t>Rate (₹/Box)</t>
        </is>
      </c>
      <c r="K4" s="5" t="inlineStr">
        <is>
          <t>Por Total (₹)</t>
        </is>
      </c>
      <c r="L4" s="5" t="inlineStr">
        <is>
          <t>Grand Total (₹)</t>
        </is>
      </c>
      <c r="M4" s="3" t="inlineStr">
        <is>
          <t>Recorded At</t>
        </is>
      </c>
    </row>
    <row r="5" ht="20" customHeight="1">
      <c r="A5" s="6" t="n">
        <v>47</v>
      </c>
      <c r="B5" s="7" t="inlineStr">
        <is>
          <t>15-10-2026</t>
        </is>
      </c>
      <c r="C5" s="7" t="inlineStr">
        <is>
          <t>Oct-2026</t>
        </is>
      </c>
      <c r="D5" s="8" t="inlineStr">
        <is>
          <t>Avenue Super marts Ltd Makarpura - vadodara</t>
        </is>
      </c>
      <c r="E5" s="7" t="inlineStr">
        <is>
          <t>1/10/2026 to 15/10/2026</t>
        </is>
      </c>
      <c r="F5" s="9" t="n">
        <v>18.45</v>
      </c>
      <c r="G5" s="10" t="n">
        <v>95</v>
      </c>
      <c r="H5" s="10">
        <f>ROUND(F5*G5, 2)</f>
        <v/>
      </c>
      <c r="I5" s="11" t="n">
        <v>3420</v>
      </c>
      <c r="J5" s="10" t="n">
        <v>1.75</v>
      </c>
      <c r="K5" s="10">
        <f>ROUND(I5*J5, 2)</f>
        <v/>
      </c>
      <c r="L5" s="12">
        <f>ROUND(H5+K5, 0)</f>
        <v/>
      </c>
      <c r="M5" s="7" t="inlineStr">
        <is>
          <t>2026-10-15 17:30:00</t>
        </is>
      </c>
    </row>
    <row r="6" ht="20" customHeight="1">
      <c r="A6" s="13" t="n">
        <v>48</v>
      </c>
      <c r="B6" s="14" t="inlineStr">
        <is>
          <t>18-10-2026</t>
        </is>
      </c>
      <c r="C6" s="14" t="inlineStr">
        <is>
          <t>Oct-2026</t>
        </is>
      </c>
      <c r="D6" s="15" t="inlineStr">
        <is>
          <t>Avenue Super marts Ltd Bhayali - vadodara</t>
        </is>
      </c>
      <c r="E6" s="14" t="inlineStr">
        <is>
          <t>1/10/2026 to 15/10/2026</t>
        </is>
      </c>
      <c r="F6" s="16" t="n">
        <v>24.12</v>
      </c>
      <c r="G6" s="17" t="n">
        <v>95</v>
      </c>
      <c r="H6" s="17">
        <f>ROUND(F6*G6, 2)</f>
        <v/>
      </c>
      <c r="I6" s="18" t="n">
        <v>4150</v>
      </c>
      <c r="J6" s="17" t="n">
        <v>1.75</v>
      </c>
      <c r="K6" s="17">
        <f>ROUND(I6*J6, 2)</f>
        <v/>
      </c>
      <c r="L6" s="19">
        <f>ROUND(H6+K6, 0)</f>
        <v/>
      </c>
      <c r="M6" s="14" t="inlineStr">
        <is>
          <t>2026-10-18 11:20:00</t>
        </is>
      </c>
    </row>
    <row r="7" ht="19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</row>
    <row r="8" ht="19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19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</row>
    <row r="10" ht="19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19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</row>
    <row r="12" ht="19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19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</row>
    <row r="14" ht="19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19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</row>
    <row r="16" ht="24" customHeight="1">
      <c r="A16" s="22" t="inlineStr">
        <is>
          <t>TOTAL</t>
        </is>
      </c>
      <c r="B16" s="23" t="n"/>
      <c r="C16" s="23" t="n"/>
      <c r="D16" s="23" t="n"/>
      <c r="E16" s="23" t="n"/>
      <c r="F16" s="24">
        <f>SUM(F5:F15)</f>
        <v/>
      </c>
      <c r="G16" s="23" t="n"/>
      <c r="H16" s="25">
        <f>SUM(H5:H15)</f>
        <v/>
      </c>
      <c r="I16" s="26">
        <f>SUM(I5:I15)</f>
        <v/>
      </c>
      <c r="J16" s="23" t="n"/>
      <c r="K16" s="25">
        <f>SUM(K5:K15)</f>
        <v/>
      </c>
      <c r="L16" s="27">
        <f>SUM(L5:L15)</f>
        <v/>
      </c>
      <c r="M16" s="23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 ht="36" customHeight="1">
      <c r="A1" s="1" t="inlineStr">
        <is>
          <t>D-MART BILLING ANALYTICS &amp; EXECUTIVE DASHBOARD</t>
        </is>
      </c>
    </row>
    <row r="2" ht="20" customHeight="1">
      <c r="A2" s="28" t="inlineStr">
        <is>
          <t>Live Key Performance Indicators, Store Distribution, and Volume Analytics (Formulas Linked to Invoice_Backup)</t>
        </is>
      </c>
    </row>
    <row r="4">
      <c r="A4" s="29" t="inlineStr">
        <is>
          <t>TOTAL BILLING REVENUE</t>
        </is>
      </c>
      <c r="B4" s="21" t="n"/>
      <c r="C4" s="30" t="inlineStr">
        <is>
          <t>TOTAL INVOICES</t>
        </is>
      </c>
      <c r="D4" s="31" t="inlineStr">
        <is>
          <t>ANKHI DC (TONS / REVENUE @ ₹95)</t>
        </is>
      </c>
      <c r="E4" s="21" t="n"/>
      <c r="F4" s="32" t="inlineStr">
        <is>
          <t>POR DC (BOXES / REVENUE @ ₹1.75)</t>
        </is>
      </c>
      <c r="G4" s="21" t="n"/>
    </row>
    <row r="5">
      <c r="A5" s="33">
        <f>SUM(Invoice_Backup!L5:L1000)</f>
        <v/>
      </c>
      <c r="B5" s="21" t="n"/>
      <c r="C5" s="34">
        <f>COUNT(Invoice_Backup!A5:A1000)</f>
        <v/>
      </c>
      <c r="D5" s="35">
        <f>SUM(Invoice_Backup!F5:F1000)</f>
        <v/>
      </c>
      <c r="E5" s="36">
        <f>SUM(Invoice_Backup!H5:H1000)</f>
        <v/>
      </c>
      <c r="F5" s="37">
        <f>SUM(Invoice_Backup!I5:I1000)</f>
        <v/>
      </c>
      <c r="G5" s="38">
        <f>SUM(Invoice_Backup!K5:K1000)</f>
        <v/>
      </c>
    </row>
    <row r="6">
      <c r="A6" s="21" t="n"/>
      <c r="B6" s="21" t="n"/>
      <c r="C6" s="21" t="n"/>
      <c r="D6" s="39" t="inlineStr">
        <is>
          <t>Unloading Rate: ₹95.00 / Metric Ton</t>
        </is>
      </c>
      <c r="E6" s="21" t="n"/>
      <c r="F6" s="40" t="inlineStr">
        <is>
          <t>Unloading Rate: ₹1.75 / Box</t>
        </is>
      </c>
      <c r="G6" s="21" t="n"/>
    </row>
    <row r="8" ht="24" customHeight="1">
      <c r="A8" s="41" t="inlineStr">
        <is>
          <t>STORE-WISE PERFORMANCE &amp; REVENUE BREAKDOWN</t>
        </is>
      </c>
    </row>
    <row r="9" ht="24" customHeight="1">
      <c r="A9" s="4" t="inlineStr">
        <is>
          <t>Store / Branch Name</t>
        </is>
      </c>
      <c r="B9" s="3" t="inlineStr">
        <is>
          <t>Keyword Match</t>
        </is>
      </c>
      <c r="C9" s="3" t="inlineStr">
        <is>
          <t>Invoice Count</t>
        </is>
      </c>
      <c r="D9" s="5" t="inlineStr">
        <is>
          <t>Total Ankhi (Tons)</t>
        </is>
      </c>
      <c r="E9" s="5" t="inlineStr">
        <is>
          <t>Total Por (Boxes)</t>
        </is>
      </c>
      <c r="F9" s="5" t="inlineStr">
        <is>
          <t>Total Amount (₹)</t>
        </is>
      </c>
      <c r="G9" s="5" t="inlineStr">
        <is>
          <t>% Share of Revenue</t>
        </is>
      </c>
    </row>
    <row r="10" ht="21" customHeight="1">
      <c r="A10" s="42" t="inlineStr">
        <is>
          <t>Avenue Super marts Ltd Bhayali - vadodara</t>
        </is>
      </c>
      <c r="B10" s="7" t="inlineStr">
        <is>
          <t>Bhayali</t>
        </is>
      </c>
      <c r="C10" s="43">
        <f>COUNTIF(Invoice_Backup!$D$5:$D$1000, "*"&amp;B10&amp;"*")</f>
        <v/>
      </c>
      <c r="D10" s="44">
        <f>SUMIFS(Invoice_Backup!$F$5:$F$1000, Invoice_Backup!$D$5:$D$1000, "*"&amp;B10&amp;"*")</f>
        <v/>
      </c>
      <c r="E10" s="45">
        <f>SUMIFS(Invoice_Backup!$I$5:$I$1000, Invoice_Backup!$D$5:$D$1000, "*"&amp;B10&amp;"*")</f>
        <v/>
      </c>
      <c r="F10" s="46">
        <f>SUMIFS(Invoice_Backup!$L$5:$L$1000, Invoice_Backup!$D$5:$D$1000, "*"&amp;B10&amp;"*")</f>
        <v/>
      </c>
      <c r="G10" s="47">
        <f>IFERROR(F10/$A$5, 0)</f>
        <v/>
      </c>
    </row>
    <row r="11" ht="21" customHeight="1">
      <c r="A11" s="48" t="inlineStr">
        <is>
          <t>Avenue Super marts Ltd Makarpura - vadodara</t>
        </is>
      </c>
      <c r="B11" s="14" t="inlineStr">
        <is>
          <t>Makarpura</t>
        </is>
      </c>
      <c r="C11" s="49">
        <f>COUNTIF(Invoice_Backup!$D$5:$D$1000, "*"&amp;B11&amp;"*")</f>
        <v/>
      </c>
      <c r="D11" s="50">
        <f>SUMIFS(Invoice_Backup!$F$5:$F$1000, Invoice_Backup!$D$5:$D$1000, "*"&amp;B11&amp;"*")</f>
        <v/>
      </c>
      <c r="E11" s="51">
        <f>SUMIFS(Invoice_Backup!$I$5:$I$1000, Invoice_Backup!$D$5:$D$1000, "*"&amp;B11&amp;"*")</f>
        <v/>
      </c>
      <c r="F11" s="52">
        <f>SUMIFS(Invoice_Backup!$L$5:$L$1000, Invoice_Backup!$D$5:$D$1000, "*"&amp;B11&amp;"*")</f>
        <v/>
      </c>
      <c r="G11" s="53">
        <f>IFERROR(F11/$A$5, 0)</f>
        <v/>
      </c>
    </row>
    <row r="12" ht="21" customHeight="1">
      <c r="A12" s="42" t="inlineStr">
        <is>
          <t>Avenue Super marts Ltd Manjalpur - vadodara</t>
        </is>
      </c>
      <c r="B12" s="7" t="inlineStr">
        <is>
          <t>Manjalpur</t>
        </is>
      </c>
      <c r="C12" s="43">
        <f>COUNTIF(Invoice_Backup!$D$5:$D$1000, "*"&amp;B12&amp;"*")</f>
        <v/>
      </c>
      <c r="D12" s="44">
        <f>SUMIFS(Invoice_Backup!$F$5:$F$1000, Invoice_Backup!$D$5:$D$1000, "*"&amp;B12&amp;"*")</f>
        <v/>
      </c>
      <c r="E12" s="45">
        <f>SUMIFS(Invoice_Backup!$I$5:$I$1000, Invoice_Backup!$D$5:$D$1000, "*"&amp;B12&amp;"*")</f>
        <v/>
      </c>
      <c r="F12" s="46">
        <f>SUMIFS(Invoice_Backup!$L$5:$L$1000, Invoice_Backup!$D$5:$D$1000, "*"&amp;B12&amp;"*")</f>
        <v/>
      </c>
      <c r="G12" s="47">
        <f>IFERROR(F12/$A$5, 0)</f>
        <v/>
      </c>
    </row>
    <row r="13" ht="21" customHeight="1">
      <c r="A13" s="48" t="inlineStr">
        <is>
          <t>Avenue Super marts Ltd Waghodia - vadodara</t>
        </is>
      </c>
      <c r="B13" s="14" t="inlineStr">
        <is>
          <t>Waghodia</t>
        </is>
      </c>
      <c r="C13" s="49">
        <f>COUNTIF(Invoice_Backup!$D$5:$D$1000, "*"&amp;B13&amp;"*")</f>
        <v/>
      </c>
      <c r="D13" s="50">
        <f>SUMIFS(Invoice_Backup!$F$5:$F$1000, Invoice_Backup!$D$5:$D$1000, "*"&amp;B13&amp;"*")</f>
        <v/>
      </c>
      <c r="E13" s="51">
        <f>SUMIFS(Invoice_Backup!$I$5:$I$1000, Invoice_Backup!$D$5:$D$1000, "*"&amp;B13&amp;"*")</f>
        <v/>
      </c>
      <c r="F13" s="52">
        <f>SUMIFS(Invoice_Backup!$L$5:$L$1000, Invoice_Backup!$D$5:$D$1000, "*"&amp;B13&amp;"*")</f>
        <v/>
      </c>
      <c r="G13" s="53">
        <f>IFERROR(F13/$A$5, 0)</f>
        <v/>
      </c>
    </row>
    <row r="14" ht="21" customHeight="1">
      <c r="A14" s="8" t="inlineStr">
        <is>
          <t>Other / Custom D-Mart Branch</t>
        </is>
      </c>
      <c r="B14" s="7" t="inlineStr"/>
      <c r="C14" s="43">
        <f>MAX(0, COUNT(Invoice_Backup!$A$5:$A$1000)-SUM(C10:C13))</f>
        <v/>
      </c>
      <c r="D14" s="44">
        <f>MAX(0, SUM(Invoice_Backup!$F$5:$F$1000)-SUM(D10:D13))</f>
        <v/>
      </c>
      <c r="E14" s="45">
        <f>MAX(0, SUM(Invoice_Backup!$I$5:$I$1000)-SUM(E10:E13))</f>
        <v/>
      </c>
      <c r="F14" s="46">
        <f>MAX(0, SUM(Invoice_Backup!$L$5:$L$1000)-SUM(F10:F13))</f>
        <v/>
      </c>
      <c r="G14" s="47">
        <f>IFERROR(F14/$A$5, 0)</f>
        <v/>
      </c>
    </row>
    <row r="15" ht="24" customHeight="1">
      <c r="A15" s="54" t="inlineStr">
        <is>
          <t>STORE SUMMARY TOTAL</t>
        </is>
      </c>
      <c r="B15" s="23" t="n"/>
      <c r="C15" s="55">
        <f>SUM(C10:C14)</f>
        <v/>
      </c>
      <c r="D15" s="24">
        <f>SUM(D10:D14)</f>
        <v/>
      </c>
      <c r="E15" s="26">
        <f>SUM(E10:E14)</f>
        <v/>
      </c>
      <c r="F15" s="56">
        <f>SUM(F10:F14)</f>
        <v/>
      </c>
      <c r="G15" s="57">
        <f>SUM(G10:G14)</f>
        <v/>
      </c>
    </row>
    <row r="17" ht="24" customHeight="1">
      <c r="A17" s="41" t="inlineStr">
        <is>
          <t>MONTHLY BILLING TRENDS &amp; QUANTITIES</t>
        </is>
      </c>
    </row>
    <row r="18" ht="24" customHeight="1">
      <c r="A18" s="3" t="inlineStr">
        <is>
          <t>Month - Year</t>
        </is>
      </c>
      <c r="B18" s="3" t="inlineStr">
        <is>
          <t>Period Filter</t>
        </is>
      </c>
      <c r="C18" s="3" t="inlineStr">
        <is>
          <t>Invoices Billed</t>
        </is>
      </c>
      <c r="D18" s="5" t="inlineStr">
        <is>
          <t>Ankhi DC (Tons)</t>
        </is>
      </c>
      <c r="E18" s="5" t="inlineStr">
        <is>
          <t>Por DC (Boxes)</t>
        </is>
      </c>
      <c r="F18" s="5" t="inlineStr">
        <is>
          <t>Monthly Amount (₹)</t>
        </is>
      </c>
      <c r="G18" s="5" t="inlineStr">
        <is>
          <t>Average Bill Value (₹)</t>
        </is>
      </c>
    </row>
    <row r="19" ht="21" customHeight="1">
      <c r="A19" s="6" t="inlineStr">
        <is>
          <t>Oct-2026</t>
        </is>
      </c>
      <c r="B19" s="8" t="inlineStr">
        <is>
          <t>October 2026</t>
        </is>
      </c>
      <c r="C19" s="43">
        <f>COUNTIF(Invoice_Backup!$C$5:$C$1000, A19)</f>
        <v/>
      </c>
      <c r="D19" s="44">
        <f>SUMIF(Invoice_Backup!$C$5:$C$1000, A19, Invoice_Backup!$F$5:$F$1000)</f>
        <v/>
      </c>
      <c r="E19" s="45">
        <f>SUMIF(Invoice_Backup!$C$5:$C$1000, A19, Invoice_Backup!$I$5:$I$1000)</f>
        <v/>
      </c>
      <c r="F19" s="46">
        <f>SUMIF(Invoice_Backup!$C$5:$C$1000, A19, Invoice_Backup!$L$5:$L$1000)</f>
        <v/>
      </c>
      <c r="G19" s="58">
        <f>IFERROR(F19/C19, 0)</f>
        <v/>
      </c>
    </row>
    <row r="20" ht="21" customHeight="1">
      <c r="A20" s="13" t="inlineStr">
        <is>
          <t>Nov-2026</t>
        </is>
      </c>
      <c r="B20" s="15" t="inlineStr">
        <is>
          <t>November 2026</t>
        </is>
      </c>
      <c r="C20" s="49">
        <f>COUNTIF(Invoice_Backup!$C$5:$C$1000, A20)</f>
        <v/>
      </c>
      <c r="D20" s="50">
        <f>SUMIF(Invoice_Backup!$C$5:$C$1000, A20, Invoice_Backup!$F$5:$F$1000)</f>
        <v/>
      </c>
      <c r="E20" s="51">
        <f>SUMIF(Invoice_Backup!$C$5:$C$1000, A20, Invoice_Backup!$I$5:$I$1000)</f>
        <v/>
      </c>
      <c r="F20" s="52">
        <f>SUMIF(Invoice_Backup!$C$5:$C$1000, A20, Invoice_Backup!$L$5:$L$1000)</f>
        <v/>
      </c>
      <c r="G20" s="59">
        <f>IFERROR(F20/C20, 0)</f>
        <v/>
      </c>
    </row>
    <row r="21" ht="21" customHeight="1">
      <c r="A21" s="6" t="inlineStr">
        <is>
          <t>Dec-2026</t>
        </is>
      </c>
      <c r="B21" s="8" t="inlineStr">
        <is>
          <t>December 2026</t>
        </is>
      </c>
      <c r="C21" s="43">
        <f>COUNTIF(Invoice_Backup!$C$5:$C$1000, A21)</f>
        <v/>
      </c>
      <c r="D21" s="44">
        <f>SUMIF(Invoice_Backup!$C$5:$C$1000, A21, Invoice_Backup!$F$5:$F$1000)</f>
        <v/>
      </c>
      <c r="E21" s="45">
        <f>SUMIF(Invoice_Backup!$C$5:$C$1000, A21, Invoice_Backup!$I$5:$I$1000)</f>
        <v/>
      </c>
      <c r="F21" s="46">
        <f>SUMIF(Invoice_Backup!$C$5:$C$1000, A21, Invoice_Backup!$L$5:$L$1000)</f>
        <v/>
      </c>
      <c r="G21" s="58">
        <f>IFERROR(F21/C21, 0)</f>
        <v/>
      </c>
    </row>
    <row r="22" ht="21" customHeight="1">
      <c r="A22" s="13" t="inlineStr">
        <is>
          <t>Jan-2027</t>
        </is>
      </c>
      <c r="B22" s="15" t="inlineStr">
        <is>
          <t>January 2027</t>
        </is>
      </c>
      <c r="C22" s="49">
        <f>COUNTIF(Invoice_Backup!$C$5:$C$1000, A22)</f>
        <v/>
      </c>
      <c r="D22" s="50">
        <f>SUMIF(Invoice_Backup!$C$5:$C$1000, A22, Invoice_Backup!$F$5:$F$1000)</f>
        <v/>
      </c>
      <c r="E22" s="51">
        <f>SUMIF(Invoice_Backup!$C$5:$C$1000, A22, Invoice_Backup!$I$5:$I$1000)</f>
        <v/>
      </c>
      <c r="F22" s="52">
        <f>SUMIF(Invoice_Backup!$C$5:$C$1000, A22, Invoice_Backup!$L$5:$L$1000)</f>
        <v/>
      </c>
      <c r="G22" s="59">
        <f>IFERROR(F22/C22, 0)</f>
        <v/>
      </c>
    </row>
  </sheetData>
  <mergeCells count="11">
    <mergeCell ref="A4:B4"/>
    <mergeCell ref="D6:E6"/>
    <mergeCell ref="F4:G4"/>
    <mergeCell ref="A1:G1"/>
    <mergeCell ref="A17:G17"/>
    <mergeCell ref="A8:G8"/>
    <mergeCell ref="A5:B6"/>
    <mergeCell ref="A2:G2"/>
    <mergeCell ref="D4:E4"/>
    <mergeCell ref="F6:G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2026-10-18T10:48:07Z</dcterms:created>
  <dcterms:modified xsi:type="dcterms:W3CDTF">2026-10-18T10:48:07Z</dcterms:modified>
</cp:coreProperties>
</file>